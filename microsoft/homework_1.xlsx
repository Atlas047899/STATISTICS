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cuments\KMITL\year_2\statistics\microsoft\"/>
    </mc:Choice>
  </mc:AlternateContent>
  <xr:revisionPtr revIDLastSave="0" documentId="13_ncr:1_{8A46B827-A177-41FE-8FAA-566A2B1D5925}" xr6:coauthVersionLast="47" xr6:coauthVersionMax="47" xr10:uidLastSave="{00000000-0000-0000-0000-000000000000}"/>
  <bookViews>
    <workbookView minimized="1" xWindow="-30" yWindow="3030" windowWidth="21600" windowHeight="11235" xr2:uid="{00000000-000D-0000-FFFF-FFFF00000000}"/>
  </bookViews>
  <sheets>
    <sheet name="qustion_2.9" sheetId="1" r:id="rId1"/>
    <sheet name="qustion_2.1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2" l="1"/>
  <c r="AC8" i="2" s="1"/>
  <c r="K2" i="1"/>
  <c r="L2" i="1" s="1"/>
  <c r="Z3" i="2"/>
  <c r="Y3" i="2"/>
  <c r="Y5" i="2"/>
  <c r="I2" i="1"/>
  <c r="B2" i="1" a="1"/>
  <c r="B2" i="1" s="1"/>
  <c r="H4" i="1"/>
  <c r="H2" i="1"/>
  <c r="AC3" i="2" l="1"/>
  <c r="AC4" i="2"/>
  <c r="AC5" i="2"/>
  <c r="AC6" i="2"/>
  <c r="AC7" i="2"/>
  <c r="L6" i="1"/>
  <c r="O14" i="1"/>
  <c r="N14" i="1"/>
  <c r="L5" i="1"/>
  <c r="O18" i="1" s="1"/>
  <c r="L7" i="1"/>
  <c r="L3" i="1"/>
  <c r="M3" i="1" s="1"/>
  <c r="L4" i="1"/>
  <c r="O15" i="1" l="1"/>
  <c r="N15" i="1"/>
  <c r="M7" i="1"/>
  <c r="O20" i="1"/>
  <c r="N20" i="1"/>
  <c r="N17" i="1"/>
  <c r="O17" i="1"/>
  <c r="O16" i="1"/>
  <c r="O19" i="1"/>
  <c r="M5" i="1"/>
  <c r="N16" i="1"/>
  <c r="M6" i="1"/>
  <c r="N18" i="1"/>
  <c r="N19" i="1"/>
  <c r="M4" i="1"/>
  <c r="O2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<sst xmlns="http://schemas.openxmlformats.org/spreadsheetml/2006/main" count="25" uniqueCount="14">
  <si>
    <t>stem</t>
  </si>
  <si>
    <t>leaf</t>
  </si>
  <si>
    <t>range</t>
  </si>
  <si>
    <t>class</t>
  </si>
  <si>
    <t>class interval</t>
  </si>
  <si>
    <t>class midpoint</t>
  </si>
  <si>
    <t>class boundaries</t>
  </si>
  <si>
    <t>data</t>
  </si>
  <si>
    <t>min</t>
  </si>
  <si>
    <t>max</t>
  </si>
  <si>
    <t>sort_data</t>
  </si>
  <si>
    <t>frequency</t>
  </si>
  <si>
    <t>total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</si>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</sst>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NumberFormat="1" applyBorder="1"/>
    <xf numFmtId="2" fontId="0" fillId="0" borderId="7" xfId="0" applyNumberFormat="1" applyBorder="1"/>
    <xf numFmtId="0" fontId="0" fillId="0" borderId="13" xfId="0" applyBorder="1"/>
    <xf numFmtId="2" fontId="0" fillId="0" borderId="4" xfId="0" applyNumberFormat="1" applyBorder="1"/>
    <xf numFmtId="2" fontId="0" fillId="0" borderId="0" xfId="0" applyNumberFormat="1" applyBorder="1"/>
    <xf numFmtId="0" fontId="0" fillId="0" borderId="0" xfId="0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0" xfId="0"/>
    <xf numFmtId="0" fontId="0" fillId="0" borderId="1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qustion_2.9!$O$13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>
              <a:glow>
                <a:schemeClr val="accent1">
                  <a:alpha val="40000"/>
                </a:schemeClr>
              </a:glow>
              <a:softEdge rad="0"/>
            </a:effectLst>
          </c:spPr>
          <c:invertIfNegative val="0"/>
          <c:cat>
            <c:strRef>
              <c:f>qustion_2.9!$M$2:$M$8</c:f>
              <c:strCache>
                <c:ptCount val="7"/>
                <c:pt idx="0">
                  <c:v>0</c:v>
                </c:pt>
                <c:pt idx="1">
                  <c:v>567</c:v>
                </c:pt>
                <c:pt idx="2">
                  <c:v>945</c:v>
                </c:pt>
                <c:pt idx="3">
                  <c:v>1323</c:v>
                </c:pt>
                <c:pt idx="4">
                  <c:v>1701</c:v>
                </c:pt>
                <c:pt idx="5">
                  <c:v>2079</c:v>
                </c:pt>
                <c:pt idx="6">
                  <c:v>more</c:v>
                </c:pt>
              </c:strCache>
            </c:strRef>
          </c:cat>
          <c:val>
            <c:numRef>
              <c:f>qustion_2.9!$O$14:$O$20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20</c:v>
                </c:pt>
                <c:pt idx="3">
                  <c:v>18</c:v>
                </c:pt>
                <c:pt idx="4">
                  <c:v>22</c:v>
                </c:pt>
                <c:pt idx="5">
                  <c:v>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28-4C04-8EE9-D3C27DA16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603962448"/>
        <c:axId val="1536329488"/>
      </c:barChart>
      <c:catAx>
        <c:axId val="160396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329488"/>
        <c:crosses val="autoZero"/>
        <c:auto val="1"/>
        <c:lblAlgn val="ctr"/>
        <c:lblOffset val="100"/>
        <c:noMultiLvlLbl val="0"/>
      </c:catAx>
      <c:valAx>
        <c:axId val="15363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frequency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962448"/>
        <c:crosses val="autoZero"/>
        <c:crossBetween val="between"/>
      </c:valAx>
      <c:spPr>
        <a:noFill/>
        <a:ln w="0">
          <a:solidFill>
            <a:schemeClr val="tx1">
              <a:alpha val="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314740</xdr:colOff>
      <xdr:row>8</xdr:row>
      <xdr:rowOff>168966</xdr:rowOff>
    </xdr:from>
    <xdr:to>
      <xdr:col>12</xdr:col>
      <xdr:colOff>231914</xdr:colOff>
      <xdr:row>23</xdr:row>
      <xdr:rowOff>54666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2A62F2-6343-09C7-3ECA-C31BFE547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zoomScale="115" zoomScaleNormal="115" workbookViewId="0">
      <selection activeCell="O5" sqref="O5"/>
    </sheetView>
  </sheetViews>
  <sheetFormatPr defaultRowHeight="15" x14ac:dyDescent="0.25"/>
  <cols>
    <col min="2" max="2" width="9.42578125" bestFit="1" customWidth="1"/>
    <col min="9" max="9" width="12.7109375" customWidth="1"/>
    <col min="10" max="10" width="15.7109375" bestFit="1" customWidth="1"/>
    <col min="11" max="11" width="17.140625" bestFit="1" customWidth="1"/>
    <col min="12" max="12" width="15" bestFit="1" customWidth="1"/>
    <col min="13" max="13" width="13.85546875" bestFit="1" customWidth="1"/>
    <col min="14" max="14" width="22.5703125" bestFit="1" customWidth="1"/>
    <col min="15" max="15" width="10" bestFit="1" customWidth="1"/>
  </cols>
  <sheetData>
    <row r="1" spans="1:15" x14ac:dyDescent="0.25">
      <c r="A1" s="8" t="s">
        <v>7</v>
      </c>
      <c r="B1" s="10" t="s">
        <v>10</v>
      </c>
      <c r="C1" s="8" t="s">
        <v>0</v>
      </c>
      <c r="D1" s="24" t="s">
        <v>1</v>
      </c>
      <c r="E1" s="25"/>
      <c r="F1" s="26"/>
      <c r="H1" s="10" t="s">
        <v>8</v>
      </c>
      <c r="I1" s="9" t="s">
        <v>2</v>
      </c>
      <c r="J1" s="10" t="s">
        <v>3</v>
      </c>
      <c r="K1" s="10" t="s">
        <v>4</v>
      </c>
      <c r="L1" s="10" t="s">
        <v>6</v>
      </c>
      <c r="M1" s="10" t="s">
        <v>5</v>
      </c>
    </row>
    <row r="2" spans="1:15" x14ac:dyDescent="0.25">
      <c r="A2" s="4">
        <v>1115</v>
      </c>
      <c r="B2" s="11" cm="1">
        <f t="array" ref="B2:B71">_xlfn._xlws.SORT(A2:A71)</f>
        <v>375</v>
      </c>
      <c r="C2" s="17">
        <v>37</v>
      </c>
      <c r="D2" s="17">
        <v>5</v>
      </c>
      <c r="E2" s="19"/>
      <c r="F2" s="5"/>
      <c r="H2" s="11">
        <f>MIN(A2:A71)</f>
        <v>375</v>
      </c>
      <c r="I2" s="15">
        <f>MAX(A2:A71)-MIN(A2:A71)</f>
        <v>1890</v>
      </c>
      <c r="J2" s="12">
        <v>5</v>
      </c>
      <c r="K2" s="29">
        <f>ROUNDUP(I2/J2,0)</f>
        <v>378</v>
      </c>
      <c r="L2" s="14">
        <f>K$2*1</f>
        <v>378</v>
      </c>
      <c r="M2" s="11">
        <v>0</v>
      </c>
    </row>
    <row r="3" spans="1:15" x14ac:dyDescent="0.25">
      <c r="A3" s="4">
        <v>1567</v>
      </c>
      <c r="B3" s="11">
        <v>706</v>
      </c>
      <c r="C3" s="17">
        <v>70</v>
      </c>
      <c r="D3" s="17">
        <v>6</v>
      </c>
      <c r="E3" s="19"/>
      <c r="F3" s="5"/>
      <c r="H3" s="10" t="s">
        <v>9</v>
      </c>
      <c r="L3" s="11">
        <f>K$2*2</f>
        <v>756</v>
      </c>
      <c r="M3" s="11">
        <f>(L2+L3)/2</f>
        <v>567</v>
      </c>
    </row>
    <row r="4" spans="1:15" x14ac:dyDescent="0.25">
      <c r="A4" s="4">
        <v>1223</v>
      </c>
      <c r="B4" s="11">
        <v>758</v>
      </c>
      <c r="C4" s="17">
        <v>75</v>
      </c>
      <c r="D4" s="17">
        <v>8</v>
      </c>
      <c r="E4" s="19"/>
      <c r="F4" s="5"/>
      <c r="H4" s="12">
        <f>MAX(A2:A71)</f>
        <v>2265</v>
      </c>
      <c r="L4" s="11">
        <f>K$2*3</f>
        <v>1134</v>
      </c>
      <c r="M4" s="11">
        <f>(L3+L4)/2</f>
        <v>945</v>
      </c>
    </row>
    <row r="5" spans="1:15" x14ac:dyDescent="0.25">
      <c r="A5" s="4">
        <v>1782</v>
      </c>
      <c r="B5" s="11">
        <v>785</v>
      </c>
      <c r="C5" s="17">
        <v>78</v>
      </c>
      <c r="D5" s="17">
        <v>5</v>
      </c>
      <c r="E5" s="19"/>
      <c r="F5" s="5"/>
      <c r="L5" s="11">
        <f>K$2*4</f>
        <v>1512</v>
      </c>
      <c r="M5" s="11">
        <f>(L4+L5)/2</f>
        <v>1323</v>
      </c>
    </row>
    <row r="6" spans="1:15" x14ac:dyDescent="0.25">
      <c r="A6" s="4">
        <v>1055</v>
      </c>
      <c r="B6" s="11">
        <v>798</v>
      </c>
      <c r="C6" s="17">
        <v>79</v>
      </c>
      <c r="D6" s="17">
        <v>8</v>
      </c>
      <c r="E6" s="19"/>
      <c r="F6" s="5"/>
      <c r="L6" s="11">
        <f>K$2*5</f>
        <v>1890</v>
      </c>
      <c r="M6" s="11">
        <f>(L5+L6)/2</f>
        <v>1701</v>
      </c>
    </row>
    <row r="7" spans="1:15" x14ac:dyDescent="0.25">
      <c r="A7" s="4">
        <v>1310</v>
      </c>
      <c r="B7" s="11">
        <v>845</v>
      </c>
      <c r="C7" s="17">
        <v>84</v>
      </c>
      <c r="D7" s="17">
        <v>5</v>
      </c>
      <c r="E7" s="19"/>
      <c r="F7" s="5"/>
      <c r="L7" s="12">
        <f>K$2*6</f>
        <v>2268</v>
      </c>
      <c r="M7" s="11">
        <f>(L6+L7)/2</f>
        <v>2079</v>
      </c>
    </row>
    <row r="8" spans="1:15" x14ac:dyDescent="0.25">
      <c r="A8" s="4">
        <v>1883</v>
      </c>
      <c r="B8" s="11">
        <v>865</v>
      </c>
      <c r="C8" s="17">
        <v>86</v>
      </c>
      <c r="D8" s="17">
        <v>5</v>
      </c>
      <c r="E8" s="19"/>
      <c r="F8" s="5"/>
      <c r="M8" s="27" t="s">
        <v>13</v>
      </c>
    </row>
    <row r="9" spans="1:15" x14ac:dyDescent="0.25">
      <c r="A9" s="4">
        <v>375</v>
      </c>
      <c r="B9" s="11">
        <v>885</v>
      </c>
      <c r="C9" s="17">
        <v>88</v>
      </c>
      <c r="D9" s="17">
        <v>5</v>
      </c>
      <c r="E9" s="19"/>
      <c r="F9" s="5"/>
    </row>
    <row r="10" spans="1:15" x14ac:dyDescent="0.25">
      <c r="A10" s="4">
        <v>1522</v>
      </c>
      <c r="B10" s="11">
        <v>910</v>
      </c>
      <c r="C10" s="17">
        <v>91</v>
      </c>
      <c r="D10" s="17">
        <v>0</v>
      </c>
      <c r="E10" s="19"/>
      <c r="F10" s="5"/>
    </row>
    <row r="11" spans="1:15" x14ac:dyDescent="0.25">
      <c r="A11" s="4">
        <v>1764</v>
      </c>
      <c r="B11" s="11">
        <v>990</v>
      </c>
      <c r="C11" s="17">
        <v>99</v>
      </c>
      <c r="D11" s="17">
        <v>0</v>
      </c>
      <c r="E11" s="19"/>
      <c r="F11" s="5"/>
      <c r="I11" s="1"/>
    </row>
    <row r="12" spans="1:15" x14ac:dyDescent="0.25">
      <c r="A12" s="4">
        <v>1540</v>
      </c>
      <c r="B12" s="11">
        <v>1000</v>
      </c>
      <c r="C12" s="17">
        <v>100</v>
      </c>
      <c r="D12" s="17">
        <v>0</v>
      </c>
      <c r="E12" s="19"/>
      <c r="F12" s="5"/>
      <c r="I12" s="1"/>
    </row>
    <row r="13" spans="1:15" x14ac:dyDescent="0.25">
      <c r="A13" s="4">
        <v>1203</v>
      </c>
      <c r="B13" s="11">
        <v>1015</v>
      </c>
      <c r="C13" s="17">
        <v>101</v>
      </c>
      <c r="D13" s="17">
        <v>5</v>
      </c>
      <c r="E13" s="18">
        <v>6</v>
      </c>
      <c r="F13" s="20">
        <v>8</v>
      </c>
      <c r="I13" s="1"/>
      <c r="N13" s="10" t="s">
        <v>3</v>
      </c>
      <c r="O13" s="9" t="s">
        <v>11</v>
      </c>
    </row>
    <row r="14" spans="1:15" x14ac:dyDescent="0.25">
      <c r="A14" s="4">
        <v>2265</v>
      </c>
      <c r="B14" s="11">
        <v>1016</v>
      </c>
      <c r="C14" s="17">
        <v>102</v>
      </c>
      <c r="D14" s="17">
        <v>0</v>
      </c>
      <c r="E14" s="18"/>
      <c r="F14" s="20"/>
      <c r="I14" s="1"/>
      <c r="N14" s="11" t="str">
        <f>"less than "&amp;L2</f>
        <v>less than 378</v>
      </c>
      <c r="O14" s="5">
        <f>COUNTIF(A2:A71,"&lt;"&amp;L2)</f>
        <v>1</v>
      </c>
    </row>
    <row r="15" spans="1:15" x14ac:dyDescent="0.25">
      <c r="A15" s="4">
        <v>1792</v>
      </c>
      <c r="B15" s="11">
        <v>1018</v>
      </c>
      <c r="C15" s="17">
        <v>105</v>
      </c>
      <c r="D15" s="17">
        <v>5</v>
      </c>
      <c r="E15" s="18"/>
      <c r="F15" s="20"/>
      <c r="I15" s="1"/>
      <c r="N15" s="11" t="str">
        <f>L2&amp;" but less than "&amp;L3</f>
        <v>378 but less than 756</v>
      </c>
      <c r="O15" s="5">
        <f>COUNTIFS(A$2:A$71, "&gt;="&amp;L2, A$2:A$71, "&lt;"&amp;L3)</f>
        <v>1</v>
      </c>
    </row>
    <row r="16" spans="1:15" x14ac:dyDescent="0.25">
      <c r="A16" s="4">
        <v>1330</v>
      </c>
      <c r="B16" s="11">
        <v>1020</v>
      </c>
      <c r="C16" s="17">
        <v>108</v>
      </c>
      <c r="D16" s="17">
        <v>5</v>
      </c>
      <c r="E16" s="18"/>
      <c r="F16" s="20"/>
      <c r="I16" s="1"/>
      <c r="N16" s="11" t="str">
        <f>L3&amp;" but less than "&amp;L4</f>
        <v>756 but less than 1134</v>
      </c>
      <c r="O16" s="5">
        <f>COUNTIFS(A$2:A$71, "&gt;="&amp;L3, A$2:A$71, "&lt;"&amp;L4)</f>
        <v>20</v>
      </c>
    </row>
    <row r="17" spans="1:15" x14ac:dyDescent="0.25">
      <c r="A17" s="4">
        <v>1502</v>
      </c>
      <c r="B17" s="11">
        <v>1055</v>
      </c>
      <c r="C17" s="17">
        <v>110</v>
      </c>
      <c r="D17" s="17">
        <v>2</v>
      </c>
      <c r="E17" s="18">
        <v>2</v>
      </c>
      <c r="F17" s="20">
        <v>9</v>
      </c>
      <c r="I17" s="1"/>
      <c r="N17" s="11" t="str">
        <f>L4&amp;" but less than "&amp;L5</f>
        <v>1134 but less than 1512</v>
      </c>
      <c r="O17" s="5">
        <f>COUNTIFS(A$2:A$71, "&gt;="&amp;L4, A$2:A$71, "&lt;"&amp;L5)</f>
        <v>18</v>
      </c>
    </row>
    <row r="18" spans="1:15" x14ac:dyDescent="0.25">
      <c r="A18" s="4">
        <v>1270</v>
      </c>
      <c r="B18" s="11">
        <v>1085</v>
      </c>
      <c r="C18" s="17">
        <v>111</v>
      </c>
      <c r="D18" s="17">
        <v>5</v>
      </c>
      <c r="E18" s="18"/>
      <c r="F18" s="20"/>
      <c r="H18" s="1"/>
      <c r="N18" s="11" t="str">
        <f>L5&amp;" but less than "&amp;L6</f>
        <v>1512 but less than 1890</v>
      </c>
      <c r="O18" s="5">
        <f>COUNTIFS(A$2:A$71, "&gt;="&amp;L5, A$2:A$71, "&lt;"&amp;L6)</f>
        <v>22</v>
      </c>
    </row>
    <row r="19" spans="1:15" x14ac:dyDescent="0.25">
      <c r="A19" s="4">
        <v>1910</v>
      </c>
      <c r="B19" s="11">
        <v>1102</v>
      </c>
      <c r="C19" s="17">
        <v>112</v>
      </c>
      <c r="D19" s="17">
        <v>0</v>
      </c>
      <c r="E19" s="18"/>
      <c r="F19" s="20"/>
      <c r="H19" s="1"/>
      <c r="N19" s="11" t="str">
        <f>L6&amp;" but less than "&amp;L7</f>
        <v>1890 but less than 2268</v>
      </c>
      <c r="O19" s="5">
        <f>COUNTIFS(A$2:A$71, "&gt;="&amp;L6, A$2:A$71, "&lt;"&amp;L7)</f>
        <v>8</v>
      </c>
    </row>
    <row r="20" spans="1:15" x14ac:dyDescent="0.25">
      <c r="A20" s="4">
        <v>1000</v>
      </c>
      <c r="B20" s="11">
        <v>1102</v>
      </c>
      <c r="C20" s="17">
        <v>120</v>
      </c>
      <c r="D20" s="17">
        <v>3</v>
      </c>
      <c r="E20" s="18"/>
      <c r="F20" s="20"/>
      <c r="H20" s="1"/>
      <c r="N20" s="11" t="str">
        <f>"more than "&amp;L7</f>
        <v>more than 2268</v>
      </c>
      <c r="O20" s="5">
        <f>COUNTIF(A2:A71,"&gt;"&amp;L7)</f>
        <v>0</v>
      </c>
    </row>
    <row r="21" spans="1:15" x14ac:dyDescent="0.25">
      <c r="A21" s="4">
        <v>1608</v>
      </c>
      <c r="B21" s="11">
        <v>1109</v>
      </c>
      <c r="C21" s="17">
        <v>122</v>
      </c>
      <c r="D21" s="17">
        <v>3</v>
      </c>
      <c r="E21" s="18"/>
      <c r="F21" s="20"/>
      <c r="H21" s="1"/>
      <c r="N21" s="12" t="s">
        <v>12</v>
      </c>
      <c r="O21" s="7">
        <f>SUM(O14:O20)</f>
        <v>70</v>
      </c>
    </row>
    <row r="22" spans="1:15" x14ac:dyDescent="0.25">
      <c r="A22" s="4">
        <v>1258</v>
      </c>
      <c r="B22" s="11">
        <v>1115</v>
      </c>
      <c r="C22" s="17">
        <v>123</v>
      </c>
      <c r="D22" s="17">
        <v>8</v>
      </c>
      <c r="E22" s="18"/>
      <c r="F22" s="20"/>
      <c r="H22" s="1"/>
    </row>
    <row r="23" spans="1:15" x14ac:dyDescent="0.25">
      <c r="A23" s="4">
        <v>1015</v>
      </c>
      <c r="B23" s="11">
        <v>1120</v>
      </c>
      <c r="C23" s="17">
        <v>125</v>
      </c>
      <c r="D23" s="17">
        <v>8</v>
      </c>
      <c r="E23" s="18"/>
      <c r="F23" s="20"/>
      <c r="H23" s="1"/>
    </row>
    <row r="24" spans="1:15" x14ac:dyDescent="0.25">
      <c r="A24" s="4">
        <v>1018</v>
      </c>
      <c r="B24" s="11">
        <v>1203</v>
      </c>
      <c r="C24" s="17">
        <v>126</v>
      </c>
      <c r="D24" s="17">
        <v>0</v>
      </c>
      <c r="E24" s="18">
        <v>9</v>
      </c>
      <c r="F24" s="20"/>
      <c r="H24" s="1"/>
    </row>
    <row r="25" spans="1:15" x14ac:dyDescent="0.25">
      <c r="A25" s="4">
        <v>1820</v>
      </c>
      <c r="B25" s="11">
        <v>1223</v>
      </c>
      <c r="C25" s="17">
        <v>142</v>
      </c>
      <c r="D25" s="17">
        <v>1</v>
      </c>
      <c r="E25" s="18"/>
      <c r="F25" s="20"/>
      <c r="H25" s="1"/>
    </row>
    <row r="26" spans="1:15" x14ac:dyDescent="0.25">
      <c r="A26" s="4">
        <v>1535</v>
      </c>
      <c r="B26" s="11">
        <v>1238</v>
      </c>
      <c r="C26" s="17">
        <v>145</v>
      </c>
      <c r="D26" s="17">
        <v>2</v>
      </c>
      <c r="E26" s="18"/>
      <c r="F26" s="20"/>
      <c r="H26" s="1"/>
    </row>
    <row r="27" spans="1:15" x14ac:dyDescent="0.25">
      <c r="A27" s="4">
        <v>1315</v>
      </c>
      <c r="B27" s="11">
        <v>1258</v>
      </c>
      <c r="C27" s="17">
        <v>146</v>
      </c>
      <c r="D27" s="17">
        <v>8</v>
      </c>
      <c r="E27" s="18"/>
      <c r="F27" s="20"/>
      <c r="H27" s="1"/>
    </row>
    <row r="28" spans="1:15" x14ac:dyDescent="0.25">
      <c r="A28" s="4">
        <v>845</v>
      </c>
      <c r="B28" s="11">
        <v>1260</v>
      </c>
      <c r="C28" s="17">
        <v>148</v>
      </c>
      <c r="D28" s="17">
        <v>1</v>
      </c>
      <c r="E28" s="18"/>
      <c r="F28" s="20"/>
      <c r="H28" s="1"/>
    </row>
    <row r="29" spans="1:15" x14ac:dyDescent="0.25">
      <c r="A29" s="4">
        <v>1452</v>
      </c>
      <c r="B29" s="11">
        <v>1269</v>
      </c>
      <c r="C29" s="17">
        <v>150</v>
      </c>
      <c r="D29" s="17">
        <v>1</v>
      </c>
      <c r="E29" s="18">
        <v>2</v>
      </c>
      <c r="F29" s="20"/>
      <c r="H29" s="1"/>
    </row>
    <row r="30" spans="1:15" x14ac:dyDescent="0.25">
      <c r="A30" s="4">
        <v>1940</v>
      </c>
      <c r="B30" s="11">
        <v>1270</v>
      </c>
      <c r="C30" s="17">
        <v>151</v>
      </c>
      <c r="D30" s="17">
        <v>2</v>
      </c>
      <c r="E30" s="18"/>
      <c r="F30" s="20"/>
      <c r="H30" s="1"/>
    </row>
    <row r="31" spans="1:15" x14ac:dyDescent="0.25">
      <c r="A31" s="4">
        <v>1781</v>
      </c>
      <c r="B31" s="11">
        <v>1310</v>
      </c>
      <c r="C31" s="17">
        <v>152</v>
      </c>
      <c r="D31" s="17">
        <v>2</v>
      </c>
      <c r="E31" s="18"/>
      <c r="F31" s="20"/>
      <c r="H31" s="1"/>
    </row>
    <row r="32" spans="1:15" x14ac:dyDescent="0.25">
      <c r="A32" s="4">
        <v>1085</v>
      </c>
      <c r="B32" s="11">
        <v>1315</v>
      </c>
      <c r="C32" s="17">
        <v>153</v>
      </c>
      <c r="D32" s="17">
        <v>5</v>
      </c>
      <c r="E32" s="18"/>
      <c r="F32" s="20"/>
      <c r="H32" s="1"/>
    </row>
    <row r="33" spans="1:8" x14ac:dyDescent="0.25">
      <c r="A33" s="4">
        <v>1674</v>
      </c>
      <c r="B33" s="11">
        <v>1315</v>
      </c>
      <c r="C33" s="17">
        <v>154</v>
      </c>
      <c r="D33" s="17">
        <v>0</v>
      </c>
      <c r="E33" s="18"/>
      <c r="F33" s="20"/>
      <c r="H33" s="1"/>
    </row>
    <row r="34" spans="1:8" x14ac:dyDescent="0.25">
      <c r="A34" s="4">
        <v>1890</v>
      </c>
      <c r="B34" s="11">
        <v>1330</v>
      </c>
      <c r="C34" s="17">
        <v>156</v>
      </c>
      <c r="D34" s="17">
        <v>0</v>
      </c>
      <c r="E34" s="18">
        <v>7</v>
      </c>
      <c r="F34" s="20"/>
      <c r="H34" s="1"/>
    </row>
    <row r="35" spans="1:8" x14ac:dyDescent="0.25">
      <c r="A35" s="4">
        <v>1120</v>
      </c>
      <c r="B35" s="11">
        <v>1416</v>
      </c>
      <c r="C35" s="17">
        <v>157</v>
      </c>
      <c r="D35" s="17">
        <v>8</v>
      </c>
      <c r="E35" s="18"/>
      <c r="F35" s="20"/>
      <c r="H35" s="1"/>
    </row>
    <row r="36" spans="1:8" x14ac:dyDescent="0.25">
      <c r="A36" s="4">
        <v>1750</v>
      </c>
      <c r="B36" s="11">
        <v>1421</v>
      </c>
      <c r="C36" s="17">
        <v>159</v>
      </c>
      <c r="D36" s="17">
        <v>4</v>
      </c>
      <c r="E36" s="18"/>
      <c r="F36" s="20"/>
      <c r="H36" s="1"/>
    </row>
    <row r="37" spans="1:8" x14ac:dyDescent="0.25">
      <c r="A37" s="4">
        <v>798</v>
      </c>
      <c r="B37" s="11">
        <v>1452</v>
      </c>
      <c r="C37" s="17">
        <v>160</v>
      </c>
      <c r="D37" s="17">
        <v>5</v>
      </c>
      <c r="E37" s="18">
        <v>8</v>
      </c>
      <c r="F37" s="20"/>
      <c r="H37" s="1"/>
    </row>
    <row r="38" spans="1:8" x14ac:dyDescent="0.25">
      <c r="A38" s="4">
        <v>1016</v>
      </c>
      <c r="B38" s="11">
        <v>1468</v>
      </c>
      <c r="C38" s="17">
        <v>164</v>
      </c>
      <c r="D38" s="17">
        <v>2</v>
      </c>
      <c r="E38" s="18"/>
      <c r="F38" s="20"/>
      <c r="H38" s="1"/>
    </row>
    <row r="39" spans="1:8" x14ac:dyDescent="0.25">
      <c r="A39" s="4">
        <v>2100</v>
      </c>
      <c r="B39" s="11">
        <v>1481</v>
      </c>
      <c r="C39" s="17">
        <v>167</v>
      </c>
      <c r="D39" s="17">
        <v>4</v>
      </c>
      <c r="E39" s="18"/>
      <c r="F39" s="20"/>
      <c r="H39" s="1"/>
    </row>
    <row r="40" spans="1:8" x14ac:dyDescent="0.25">
      <c r="A40" s="4">
        <v>910</v>
      </c>
      <c r="B40" s="11">
        <v>1501</v>
      </c>
      <c r="C40" s="17">
        <v>173</v>
      </c>
      <c r="D40" s="17">
        <v>0</v>
      </c>
      <c r="E40" s="18"/>
      <c r="F40" s="20"/>
      <c r="H40" s="1"/>
    </row>
    <row r="41" spans="1:8" x14ac:dyDescent="0.25">
      <c r="A41" s="4">
        <v>1501</v>
      </c>
      <c r="B41" s="11">
        <v>1502</v>
      </c>
      <c r="C41" s="17">
        <v>175</v>
      </c>
      <c r="D41" s="17">
        <v>0</v>
      </c>
      <c r="E41" s="18">
        <v>0</v>
      </c>
      <c r="F41" s="20"/>
      <c r="H41" s="1"/>
    </row>
    <row r="42" spans="1:8" x14ac:dyDescent="0.25">
      <c r="A42" s="4">
        <v>1020</v>
      </c>
      <c r="B42" s="11">
        <v>1512</v>
      </c>
      <c r="C42" s="17">
        <v>176</v>
      </c>
      <c r="D42" s="17">
        <v>4</v>
      </c>
      <c r="E42" s="18"/>
      <c r="F42" s="20"/>
      <c r="H42" s="1"/>
    </row>
    <row r="43" spans="1:8" x14ac:dyDescent="0.25">
      <c r="A43" s="4">
        <v>1102</v>
      </c>
      <c r="B43" s="11">
        <v>1522</v>
      </c>
      <c r="C43" s="17">
        <v>178</v>
      </c>
      <c r="D43" s="17">
        <v>1</v>
      </c>
      <c r="E43" s="18">
        <v>2</v>
      </c>
      <c r="F43" s="20"/>
      <c r="H43" s="1"/>
    </row>
    <row r="44" spans="1:8" x14ac:dyDescent="0.25">
      <c r="A44" s="4">
        <v>1594</v>
      </c>
      <c r="B44" s="11">
        <v>1535</v>
      </c>
      <c r="C44" s="17">
        <v>179</v>
      </c>
      <c r="D44" s="17">
        <v>2</v>
      </c>
      <c r="E44" s="18"/>
      <c r="F44" s="20"/>
      <c r="H44" s="1"/>
    </row>
    <row r="45" spans="1:8" x14ac:dyDescent="0.25">
      <c r="A45" s="4">
        <v>1730</v>
      </c>
      <c r="B45" s="11">
        <v>1540</v>
      </c>
      <c r="C45" s="17">
        <v>182</v>
      </c>
      <c r="D45" s="17">
        <v>0</v>
      </c>
      <c r="E45" s="18"/>
      <c r="F45" s="20"/>
      <c r="H45" s="1"/>
    </row>
    <row r="46" spans="1:8" x14ac:dyDescent="0.25">
      <c r="A46" s="4">
        <v>1238</v>
      </c>
      <c r="B46" s="11">
        <v>1560</v>
      </c>
      <c r="C46" s="17">
        <v>188</v>
      </c>
      <c r="D46" s="17">
        <v>3</v>
      </c>
      <c r="E46" s="18">
        <v>8</v>
      </c>
      <c r="F46" s="20"/>
      <c r="H46" s="1"/>
    </row>
    <row r="47" spans="1:8" x14ac:dyDescent="0.25">
      <c r="A47" s="4">
        <v>865</v>
      </c>
      <c r="B47" s="11">
        <v>1567</v>
      </c>
      <c r="C47" s="17">
        <v>189</v>
      </c>
      <c r="D47" s="17">
        <v>0</v>
      </c>
      <c r="E47" s="18"/>
      <c r="F47" s="20"/>
      <c r="H47" s="1"/>
    </row>
    <row r="48" spans="1:8" x14ac:dyDescent="0.25">
      <c r="A48" s="4">
        <v>1605</v>
      </c>
      <c r="B48" s="11">
        <v>1578</v>
      </c>
      <c r="C48" s="17">
        <v>191</v>
      </c>
      <c r="D48" s="17">
        <v>0</v>
      </c>
      <c r="E48" s="18"/>
      <c r="F48" s="20"/>
      <c r="H48" s="1"/>
    </row>
    <row r="49" spans="1:8" x14ac:dyDescent="0.25">
      <c r="A49" s="4">
        <v>2023</v>
      </c>
      <c r="B49" s="11">
        <v>1594</v>
      </c>
      <c r="C49" s="17">
        <v>194</v>
      </c>
      <c r="D49" s="17">
        <v>0</v>
      </c>
      <c r="E49" s="18"/>
      <c r="F49" s="20"/>
      <c r="H49" s="1"/>
    </row>
    <row r="50" spans="1:8" x14ac:dyDescent="0.25">
      <c r="A50" s="4">
        <v>1102</v>
      </c>
      <c r="B50" s="11">
        <v>1605</v>
      </c>
      <c r="C50" s="17">
        <v>202</v>
      </c>
      <c r="D50" s="17">
        <v>3</v>
      </c>
      <c r="E50" s="18"/>
      <c r="F50" s="20"/>
      <c r="H50" s="1"/>
    </row>
    <row r="51" spans="1:8" x14ac:dyDescent="0.25">
      <c r="A51" s="4">
        <v>990</v>
      </c>
      <c r="B51" s="11">
        <v>1608</v>
      </c>
      <c r="C51" s="17">
        <v>210</v>
      </c>
      <c r="D51" s="17">
        <v>0</v>
      </c>
      <c r="E51" s="19"/>
      <c r="F51" s="5"/>
      <c r="H51" s="1"/>
    </row>
    <row r="52" spans="1:8" x14ac:dyDescent="0.25">
      <c r="A52" s="4">
        <v>2130</v>
      </c>
      <c r="B52" s="11">
        <v>1642</v>
      </c>
      <c r="C52" s="17">
        <v>213</v>
      </c>
      <c r="D52" s="17">
        <v>0</v>
      </c>
      <c r="E52" s="19"/>
      <c r="F52" s="5"/>
      <c r="H52" s="1"/>
    </row>
    <row r="53" spans="1:8" x14ac:dyDescent="0.25">
      <c r="A53" s="4">
        <v>706</v>
      </c>
      <c r="B53" s="11">
        <v>1674</v>
      </c>
      <c r="C53" s="17">
        <v>221</v>
      </c>
      <c r="D53" s="17">
        <v>5</v>
      </c>
      <c r="E53" s="19"/>
      <c r="F53" s="5"/>
      <c r="H53" s="1"/>
    </row>
    <row r="54" spans="1:8" x14ac:dyDescent="0.25">
      <c r="A54" s="4">
        <v>1315</v>
      </c>
      <c r="B54" s="11">
        <v>1730</v>
      </c>
      <c r="C54" s="21">
        <v>226</v>
      </c>
      <c r="D54" s="21">
        <v>5</v>
      </c>
      <c r="E54" s="22"/>
      <c r="F54" s="7"/>
      <c r="H54" s="1"/>
    </row>
    <row r="55" spans="1:8" x14ac:dyDescent="0.25">
      <c r="A55" s="4">
        <v>1578</v>
      </c>
      <c r="B55" s="11">
        <v>1750</v>
      </c>
    </row>
    <row r="56" spans="1:8" x14ac:dyDescent="0.25">
      <c r="A56" s="4">
        <v>1468</v>
      </c>
      <c r="B56" s="11">
        <v>1750</v>
      </c>
    </row>
    <row r="57" spans="1:8" x14ac:dyDescent="0.25">
      <c r="A57" s="4">
        <v>1421</v>
      </c>
      <c r="B57" s="11">
        <v>1764</v>
      </c>
    </row>
    <row r="58" spans="1:8" x14ac:dyDescent="0.25">
      <c r="A58" s="4">
        <v>2215</v>
      </c>
      <c r="B58" s="11">
        <v>1781</v>
      </c>
    </row>
    <row r="59" spans="1:8" x14ac:dyDescent="0.25">
      <c r="A59" s="4">
        <v>1269</v>
      </c>
      <c r="B59" s="11">
        <v>1782</v>
      </c>
    </row>
    <row r="60" spans="1:8" x14ac:dyDescent="0.25">
      <c r="A60" s="4">
        <v>758</v>
      </c>
      <c r="B60" s="11">
        <v>1792</v>
      </c>
    </row>
    <row r="61" spans="1:8" x14ac:dyDescent="0.25">
      <c r="A61" s="4">
        <v>1512</v>
      </c>
      <c r="B61" s="11">
        <v>1820</v>
      </c>
    </row>
    <row r="62" spans="1:8" x14ac:dyDescent="0.25">
      <c r="A62" s="4">
        <v>1109</v>
      </c>
      <c r="B62" s="11">
        <v>1883</v>
      </c>
    </row>
    <row r="63" spans="1:8" x14ac:dyDescent="0.25">
      <c r="A63" s="4">
        <v>785</v>
      </c>
      <c r="B63" s="11">
        <v>1888</v>
      </c>
    </row>
    <row r="64" spans="1:8" x14ac:dyDescent="0.25">
      <c r="A64" s="4">
        <v>1260</v>
      </c>
      <c r="B64" s="11">
        <v>1890</v>
      </c>
    </row>
    <row r="65" spans="1:2" x14ac:dyDescent="0.25">
      <c r="A65" s="4">
        <v>1416</v>
      </c>
      <c r="B65" s="11">
        <v>1910</v>
      </c>
    </row>
    <row r="66" spans="1:2" x14ac:dyDescent="0.25">
      <c r="A66" s="4">
        <v>1750</v>
      </c>
      <c r="B66" s="11">
        <v>1940</v>
      </c>
    </row>
    <row r="67" spans="1:2" x14ac:dyDescent="0.25">
      <c r="A67" s="4">
        <v>1481</v>
      </c>
      <c r="B67" s="11">
        <v>2023</v>
      </c>
    </row>
    <row r="68" spans="1:2" x14ac:dyDescent="0.25">
      <c r="A68" s="4">
        <v>885</v>
      </c>
      <c r="B68" s="11">
        <v>2100</v>
      </c>
    </row>
    <row r="69" spans="1:2" x14ac:dyDescent="0.25">
      <c r="A69" s="4">
        <v>1888</v>
      </c>
      <c r="B69" s="11">
        <v>2130</v>
      </c>
    </row>
    <row r="70" spans="1:2" x14ac:dyDescent="0.25">
      <c r="A70" s="4">
        <v>1560</v>
      </c>
      <c r="B70" s="11">
        <v>2215</v>
      </c>
    </row>
    <row r="71" spans="1:2" x14ac:dyDescent="0.25">
      <c r="A71" s="6">
        <v>1642</v>
      </c>
      <c r="B71" s="12">
        <v>2265</v>
      </c>
    </row>
  </sheetData>
  <mergeCells count="1">
    <mergeCell ref="D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A21F-AF8E-41BA-A411-BB9A63D99304}">
  <dimension ref="A1:AD65"/>
  <sheetViews>
    <sheetView topLeftCell="D1" workbookViewId="0">
      <selection activeCell="AB3" sqref="AB3"/>
    </sheetView>
  </sheetViews>
  <sheetFormatPr defaultRowHeight="15" x14ac:dyDescent="0.25"/>
  <cols>
    <col min="11" max="11" width="9.140625" customWidth="1"/>
    <col min="27" max="27" width="10" customWidth="1"/>
    <col min="28" max="28" width="12.42578125" bestFit="1" customWidth="1"/>
    <col min="29" max="29" width="15.7109375" bestFit="1" customWidth="1"/>
    <col min="30" max="30" width="13.85546875" bestFit="1" customWidth="1"/>
  </cols>
  <sheetData>
    <row r="1" spans="1:30" x14ac:dyDescent="0.25">
      <c r="A1" s="10" t="s">
        <v>7</v>
      </c>
      <c r="B1" s="10" t="s">
        <v>0</v>
      </c>
      <c r="C1" s="23" t="s">
        <v>1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30" x14ac:dyDescent="0.25">
      <c r="A2" s="13">
        <v>34.200000000000003</v>
      </c>
      <c r="B2" s="3">
        <v>32</v>
      </c>
      <c r="C2" s="2">
        <v>1</v>
      </c>
      <c r="D2" s="16">
        <v>5</v>
      </c>
      <c r="E2" s="16">
        <v>6</v>
      </c>
      <c r="F2" s="16">
        <v>7</v>
      </c>
      <c r="G2" s="16">
        <v>8</v>
      </c>
      <c r="H2" s="16">
        <v>9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3"/>
      <c r="Y2" s="10" t="s">
        <v>8</v>
      </c>
      <c r="Z2" s="9" t="s">
        <v>2</v>
      </c>
      <c r="AA2" s="10" t="s">
        <v>3</v>
      </c>
      <c r="AB2" s="10" t="s">
        <v>4</v>
      </c>
      <c r="AC2" s="10" t="s">
        <v>6</v>
      </c>
      <c r="AD2" s="10" t="s">
        <v>5</v>
      </c>
    </row>
    <row r="3" spans="1:30" x14ac:dyDescent="0.25">
      <c r="A3" s="11">
        <v>33.6</v>
      </c>
      <c r="B3" s="5">
        <v>33</v>
      </c>
      <c r="C3" s="4">
        <v>1</v>
      </c>
      <c r="D3" s="19">
        <v>1</v>
      </c>
      <c r="E3" s="19">
        <v>4</v>
      </c>
      <c r="F3" s="19">
        <v>5</v>
      </c>
      <c r="G3" s="19">
        <v>6</v>
      </c>
      <c r="H3" s="19">
        <v>6</v>
      </c>
      <c r="I3" s="19">
        <v>6</v>
      </c>
      <c r="J3" s="19">
        <v>6</v>
      </c>
      <c r="K3" s="19">
        <v>6</v>
      </c>
      <c r="L3" s="19">
        <v>8</v>
      </c>
      <c r="M3" s="19">
        <v>8</v>
      </c>
      <c r="N3" s="19"/>
      <c r="O3" s="19"/>
      <c r="P3" s="19"/>
      <c r="Q3" s="19"/>
      <c r="R3" s="19"/>
      <c r="S3" s="19"/>
      <c r="T3" s="19"/>
      <c r="U3" s="19"/>
      <c r="V3" s="19"/>
      <c r="W3" s="5"/>
      <c r="Y3" s="13">
        <f>MIN(A2:A65)</f>
        <v>32.1</v>
      </c>
      <c r="Z3">
        <f>Y5-Y3</f>
        <v>5.7999999999999972</v>
      </c>
      <c r="AA3">
        <v>5</v>
      </c>
      <c r="AB3">
        <f>ROUNDUP(Z3/AA3,0)</f>
        <v>2</v>
      </c>
      <c r="AC3">
        <f>AB$3*1</f>
        <v>2</v>
      </c>
    </row>
    <row r="4" spans="1:30" x14ac:dyDescent="0.25">
      <c r="A4" s="11">
        <v>33.799999999999997</v>
      </c>
      <c r="B4" s="5">
        <v>34</v>
      </c>
      <c r="C4" s="4">
        <v>0</v>
      </c>
      <c r="D4" s="19">
        <v>1</v>
      </c>
      <c r="E4" s="19">
        <v>1</v>
      </c>
      <c r="F4" s="19">
        <v>1</v>
      </c>
      <c r="G4" s="19">
        <v>2</v>
      </c>
      <c r="H4" s="19">
        <v>2</v>
      </c>
      <c r="I4" s="19">
        <v>3</v>
      </c>
      <c r="J4" s="19">
        <v>5</v>
      </c>
      <c r="K4" s="19">
        <v>5</v>
      </c>
      <c r="L4" s="19">
        <v>6</v>
      </c>
      <c r="M4" s="19">
        <v>6</v>
      </c>
      <c r="N4" s="19">
        <v>6</v>
      </c>
      <c r="O4" s="19">
        <v>6</v>
      </c>
      <c r="P4" s="19">
        <v>6</v>
      </c>
      <c r="Q4" s="19">
        <v>7</v>
      </c>
      <c r="R4" s="19">
        <v>7</v>
      </c>
      <c r="S4" s="19">
        <v>7</v>
      </c>
      <c r="T4" s="19">
        <v>7</v>
      </c>
      <c r="U4" s="19">
        <v>7</v>
      </c>
      <c r="V4" s="19">
        <v>7</v>
      </c>
      <c r="W4" s="5">
        <v>9</v>
      </c>
      <c r="Y4" s="10" t="s">
        <v>9</v>
      </c>
      <c r="AC4" s="28">
        <f>AB$3*2</f>
        <v>4</v>
      </c>
    </row>
    <row r="5" spans="1:30" x14ac:dyDescent="0.25">
      <c r="A5" s="11">
        <v>34.700000000000003</v>
      </c>
      <c r="B5" s="5">
        <v>35</v>
      </c>
      <c r="C5" s="4">
        <v>0</v>
      </c>
      <c r="D5" s="19">
        <v>0</v>
      </c>
      <c r="E5" s="19">
        <v>1</v>
      </c>
      <c r="F5" s="19">
        <v>1</v>
      </c>
      <c r="G5" s="19">
        <v>1</v>
      </c>
      <c r="H5" s="19">
        <v>2</v>
      </c>
      <c r="I5" s="19">
        <v>3</v>
      </c>
      <c r="J5" s="19">
        <v>4</v>
      </c>
      <c r="K5" s="19">
        <v>4</v>
      </c>
      <c r="L5" s="19">
        <v>5</v>
      </c>
      <c r="M5" s="19">
        <v>6</v>
      </c>
      <c r="N5" s="19">
        <v>7</v>
      </c>
      <c r="O5" s="19">
        <v>8</v>
      </c>
      <c r="P5" s="19">
        <v>9</v>
      </c>
      <c r="Q5" s="19"/>
      <c r="R5" s="19"/>
      <c r="S5" s="19"/>
      <c r="T5" s="19"/>
      <c r="U5" s="19"/>
      <c r="V5" s="19"/>
      <c r="W5" s="5"/>
      <c r="Y5" s="12">
        <f>MAX(A2:A65)</f>
        <v>37.9</v>
      </c>
      <c r="AC5" s="28">
        <f>AB$3*3</f>
        <v>6</v>
      </c>
    </row>
    <row r="6" spans="1:30" x14ac:dyDescent="0.25">
      <c r="A6" s="11">
        <v>33.1</v>
      </c>
      <c r="B6" s="5">
        <v>36</v>
      </c>
      <c r="C6" s="4">
        <v>2</v>
      </c>
      <c r="D6" s="19">
        <v>3</v>
      </c>
      <c r="E6" s="19">
        <v>4</v>
      </c>
      <c r="F6" s="19">
        <v>6</v>
      </c>
      <c r="G6" s="19">
        <v>8</v>
      </c>
      <c r="H6" s="19">
        <v>8</v>
      </c>
      <c r="I6" s="19">
        <v>8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5"/>
      <c r="AC6" s="28">
        <f>AB$3*4</f>
        <v>8</v>
      </c>
    </row>
    <row r="7" spans="1:30" x14ac:dyDescent="0.25">
      <c r="A7" s="11">
        <v>34.700000000000003</v>
      </c>
      <c r="B7" s="7">
        <v>37</v>
      </c>
      <c r="C7" s="6">
        <v>1</v>
      </c>
      <c r="D7" s="22">
        <v>3</v>
      </c>
      <c r="E7" s="22">
        <v>6</v>
      </c>
      <c r="F7" s="22">
        <v>8</v>
      </c>
      <c r="G7" s="22">
        <v>9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7"/>
      <c r="AC7" s="28">
        <f>AB$3*5</f>
        <v>10</v>
      </c>
    </row>
    <row r="8" spans="1:30" x14ac:dyDescent="0.25">
      <c r="A8" s="11">
        <v>34.200000000000003</v>
      </c>
      <c r="AC8" s="28">
        <f>AB$3*6</f>
        <v>12</v>
      </c>
    </row>
    <row r="9" spans="1:30" x14ac:dyDescent="0.25">
      <c r="A9" s="11">
        <v>33.6</v>
      </c>
    </row>
    <row r="10" spans="1:30" x14ac:dyDescent="0.25">
      <c r="A10" s="11">
        <v>34.5</v>
      </c>
    </row>
    <row r="11" spans="1:30" x14ac:dyDescent="0.25">
      <c r="A11" s="11">
        <v>35</v>
      </c>
    </row>
    <row r="12" spans="1:30" x14ac:dyDescent="0.25">
      <c r="A12" s="11">
        <v>33.4</v>
      </c>
    </row>
    <row r="13" spans="1:30" x14ac:dyDescent="0.25">
      <c r="A13" s="11">
        <v>32.5</v>
      </c>
    </row>
    <row r="14" spans="1:30" x14ac:dyDescent="0.25">
      <c r="A14" s="11">
        <v>35.6</v>
      </c>
    </row>
    <row r="15" spans="1:30" x14ac:dyDescent="0.25">
      <c r="A15" s="11">
        <v>35.4</v>
      </c>
    </row>
    <row r="16" spans="1:30" x14ac:dyDescent="0.25">
      <c r="A16" s="11">
        <v>34.700000000000003</v>
      </c>
    </row>
    <row r="17" spans="1:1" x14ac:dyDescent="0.25">
      <c r="A17" s="11">
        <v>34.1</v>
      </c>
    </row>
    <row r="18" spans="1:1" x14ac:dyDescent="0.25">
      <c r="A18" s="11">
        <v>36.299999999999997</v>
      </c>
    </row>
    <row r="19" spans="1:1" x14ac:dyDescent="0.25">
      <c r="A19" s="11">
        <v>36.200000000000003</v>
      </c>
    </row>
    <row r="20" spans="1:1" x14ac:dyDescent="0.25">
      <c r="A20" s="11">
        <v>34.6</v>
      </c>
    </row>
    <row r="21" spans="1:1" x14ac:dyDescent="0.25">
      <c r="A21" s="11">
        <v>35.1</v>
      </c>
    </row>
    <row r="22" spans="1:1" x14ac:dyDescent="0.25">
      <c r="A22" s="11">
        <v>35.1</v>
      </c>
    </row>
    <row r="23" spans="1:1" x14ac:dyDescent="0.25">
      <c r="A23" s="11">
        <v>36.799999999999997</v>
      </c>
    </row>
    <row r="24" spans="1:1" x14ac:dyDescent="0.25">
      <c r="A24" s="11">
        <v>35.200000000000003</v>
      </c>
    </row>
    <row r="25" spans="1:1" x14ac:dyDescent="0.25">
      <c r="A25" s="11">
        <v>36.799999999999997</v>
      </c>
    </row>
    <row r="26" spans="1:1" x14ac:dyDescent="0.25">
      <c r="A26" s="11">
        <v>34.700000000000003</v>
      </c>
    </row>
    <row r="27" spans="1:1" x14ac:dyDescent="0.25">
      <c r="A27" s="11">
        <v>35.1</v>
      </c>
    </row>
    <row r="28" spans="1:1" x14ac:dyDescent="0.25">
      <c r="A28" s="11">
        <v>35</v>
      </c>
    </row>
    <row r="29" spans="1:1" x14ac:dyDescent="0.25">
      <c r="A29" s="11">
        <v>37.9</v>
      </c>
    </row>
    <row r="30" spans="1:1" x14ac:dyDescent="0.25">
      <c r="A30" s="11">
        <v>33.6</v>
      </c>
    </row>
    <row r="31" spans="1:1" x14ac:dyDescent="0.25">
      <c r="A31" s="11">
        <v>35.299999999999997</v>
      </c>
    </row>
    <row r="32" spans="1:1" x14ac:dyDescent="0.25">
      <c r="A32" s="11">
        <v>34.9</v>
      </c>
    </row>
    <row r="33" spans="1:1" x14ac:dyDescent="0.25">
      <c r="A33" s="11">
        <v>36.4</v>
      </c>
    </row>
    <row r="34" spans="1:1" x14ac:dyDescent="0.25">
      <c r="A34" s="11">
        <v>37.799999999999997</v>
      </c>
    </row>
    <row r="35" spans="1:1" x14ac:dyDescent="0.25">
      <c r="A35" s="11">
        <v>32.6</v>
      </c>
    </row>
    <row r="36" spans="1:1" x14ac:dyDescent="0.25">
      <c r="A36" s="11">
        <v>35.799999999999997</v>
      </c>
    </row>
    <row r="37" spans="1:1" x14ac:dyDescent="0.25">
      <c r="A37" s="11">
        <v>34.6</v>
      </c>
    </row>
    <row r="38" spans="1:1" x14ac:dyDescent="0.25">
      <c r="A38" s="11">
        <v>36.6</v>
      </c>
    </row>
    <row r="39" spans="1:1" x14ac:dyDescent="0.25">
      <c r="A39" s="11">
        <v>33.1</v>
      </c>
    </row>
    <row r="40" spans="1:1" x14ac:dyDescent="0.25">
      <c r="A40" s="11">
        <v>37.6</v>
      </c>
    </row>
    <row r="41" spans="1:1" x14ac:dyDescent="0.25">
      <c r="A41" s="11">
        <v>33.6</v>
      </c>
    </row>
    <row r="42" spans="1:1" x14ac:dyDescent="0.25">
      <c r="A42" s="11">
        <v>35.4</v>
      </c>
    </row>
    <row r="43" spans="1:1" x14ac:dyDescent="0.25">
      <c r="A43" s="11">
        <v>34.6</v>
      </c>
    </row>
    <row r="44" spans="1:1" x14ac:dyDescent="0.25">
      <c r="A44" s="11">
        <v>37.299999999999997</v>
      </c>
    </row>
    <row r="45" spans="1:1" x14ac:dyDescent="0.25">
      <c r="A45" s="11">
        <v>34.1</v>
      </c>
    </row>
    <row r="46" spans="1:1" x14ac:dyDescent="0.25">
      <c r="A46" s="11">
        <v>34.6</v>
      </c>
    </row>
    <row r="47" spans="1:1" x14ac:dyDescent="0.25">
      <c r="A47" s="11">
        <v>35.9</v>
      </c>
    </row>
    <row r="48" spans="1:1" x14ac:dyDescent="0.25">
      <c r="A48" s="11">
        <v>34.6</v>
      </c>
    </row>
    <row r="49" spans="1:1" x14ac:dyDescent="0.25">
      <c r="A49" s="11">
        <v>34.700000000000003</v>
      </c>
    </row>
    <row r="50" spans="1:1" x14ac:dyDescent="0.25">
      <c r="A50" s="11">
        <v>33.799999999999997</v>
      </c>
    </row>
    <row r="51" spans="1:1" x14ac:dyDescent="0.25">
      <c r="A51" s="11">
        <v>34.700000000000003</v>
      </c>
    </row>
    <row r="52" spans="1:1" x14ac:dyDescent="0.25">
      <c r="A52" s="11">
        <v>35.5</v>
      </c>
    </row>
    <row r="53" spans="1:1" x14ac:dyDescent="0.25">
      <c r="A53" s="11">
        <v>35.700000000000003</v>
      </c>
    </row>
    <row r="54" spans="1:1" x14ac:dyDescent="0.25">
      <c r="A54" s="11">
        <v>37.1</v>
      </c>
    </row>
    <row r="55" spans="1:1" x14ac:dyDescent="0.25">
      <c r="A55" s="11">
        <v>33.6</v>
      </c>
    </row>
    <row r="56" spans="1:1" x14ac:dyDescent="0.25">
      <c r="A56" s="11">
        <v>32.799999999999997</v>
      </c>
    </row>
    <row r="57" spans="1:1" x14ac:dyDescent="0.25">
      <c r="A57" s="11">
        <v>36.799999999999997</v>
      </c>
    </row>
    <row r="58" spans="1:1" x14ac:dyDescent="0.25">
      <c r="A58" s="11">
        <v>34</v>
      </c>
    </row>
    <row r="59" spans="1:1" x14ac:dyDescent="0.25">
      <c r="A59" s="11">
        <v>32.9</v>
      </c>
    </row>
    <row r="60" spans="1:1" x14ac:dyDescent="0.25">
      <c r="A60" s="11">
        <v>32.1</v>
      </c>
    </row>
    <row r="61" spans="1:1" x14ac:dyDescent="0.25">
      <c r="A61" s="11">
        <v>34.299999999999997</v>
      </c>
    </row>
    <row r="62" spans="1:1" x14ac:dyDescent="0.25">
      <c r="A62" s="11">
        <v>34.1</v>
      </c>
    </row>
    <row r="63" spans="1:1" x14ac:dyDescent="0.25">
      <c r="A63" s="11">
        <v>33.5</v>
      </c>
    </row>
    <row r="64" spans="1:1" x14ac:dyDescent="0.25">
      <c r="A64" s="11">
        <v>34.5</v>
      </c>
    </row>
    <row r="65" spans="1:1" x14ac:dyDescent="0.25">
      <c r="A65" s="12">
        <v>32.700000000000003</v>
      </c>
    </row>
  </sheetData>
  <mergeCells count="1">
    <mergeCell ref="C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qustion_2.9</vt:lpstr>
      <vt:lpstr>qustion_2.10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Natsarun Suwannachot</cp:lastModifiedBy>
  <dcterms:created xsi:type="dcterms:W3CDTF">2025-12-07T16:47:52Z</dcterms:created>
  <dcterms:modified xsi:type="dcterms:W3CDTF">2025-12-07T19:38:15Z</dcterms:modified>
</cp:coreProperties>
</file>